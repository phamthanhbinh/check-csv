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E:\Tickets\VBA tool\Tool management\check-csv\bin\"/>
    </mc:Choice>
  </mc:AlternateContent>
  <bookViews>
    <workbookView xWindow="0" yWindow="0" windowWidth="21570" windowHeight="7965" tabRatio="738" xr2:uid="{00000000-000D-0000-FFFF-FFFF00000000}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List" sheetId="26" state="hidden" r:id="rId5"/>
  </sheets>
  <functionGroups builtInGroupCount="19"/>
  <definedNames>
    <definedName name="CharacterCodeList" localSheetId="3">List!$F$4:$F$5</definedName>
    <definedName name="CharacterCodeList">List!$F$4:$F$5</definedName>
    <definedName name="DataTypeList" localSheetId="3">List!$AO$4:$AO$10</definedName>
    <definedName name="DataTypeList">List!$AO$4:$AO$10</definedName>
    <definedName name="DateDatetimeList" localSheetId="3">List!$AU$4:$AU$16</definedName>
    <definedName name="DateDatetimeList">List!$AU$4:$AU$16</definedName>
    <definedName name="EncryptionList" localSheetId="3">List!$AG$4:$AG$5</definedName>
    <definedName name="EncryptionList">List!$AG$4:$AG$5</definedName>
    <definedName name="FileCapacityList" localSheetId="3">List!$Q$4:$Q$5</definedName>
    <definedName name="FileCapacityList">List!$Q$4:$Q$5</definedName>
    <definedName name="FileExtensionList" localSheetId="3">List!$D$4:$D$5</definedName>
    <definedName name="FileExtensionList">List!$D$4:$D$5</definedName>
    <definedName name="HeaderList" localSheetId="3">List!$G$4:$G$5</definedName>
    <definedName name="HeaderList">List!$G$4:$G$5</definedName>
    <definedName name="LineFeedCodeList" localSheetId="3">List!$I$4:$I$5</definedName>
    <definedName name="LineFeedCodeList">List!$I$4:$I$5</definedName>
    <definedName name="LinkingFormList" localSheetId="3">List!$T$4:$T$5</definedName>
    <definedName name="LinkingFormList">List!$T$4:$T$5</definedName>
    <definedName name="LinkingMethodList" localSheetId="3">List!$U$4:$U$5</definedName>
    <definedName name="LinkingMethodList">List!$U$4:$U$5</definedName>
    <definedName name="LinkingRecordList" localSheetId="3">List!$K$4:$K$5</definedName>
    <definedName name="LinkingRecordList">List!$K$4:$K$5</definedName>
    <definedName name="LinkingStopDateList" localSheetId="3">List!$AJ$4:$AJ$5</definedName>
    <definedName name="LinkingStopDateList">List!$AJ$4:$AJ$5</definedName>
    <definedName name="NotNullList" localSheetId="3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>List!$AP$4</definedName>
    <definedName name="SendingEmptyFileList" localSheetId="3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>List!$AD$4:$AD$5</definedName>
    <definedName name="ZipList" localSheetId="3">List!$AC$4:$AC$5</definedName>
    <definedName name="ZipList">List!$AC$4:$AC$5</definedName>
    <definedName name="ZipPasswordSettingList" localSheetId="3">List!$AE$4:$AE$5</definedName>
    <definedName name="ZipPasswordSettingList">List!$AE$4:$AE$5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5" i="3"/>
  <c r="F6" i="3"/>
  <c r="F4" i="3"/>
  <c r="B9" i="3" l="1"/>
  <c r="B8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 Tan Hung</author>
  </authors>
  <commentList>
    <comment ref="M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<sst xmlns="http://schemas.openxmlformats.org/spreadsheetml/2006/main" count="404" uniqueCount="202">
  <si>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</si>
  <si>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</si>
  <si>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</si>
  <si>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</si>
  <si>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</si>
  <si>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</si>
  <si>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</si>
  <si>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</si>
  <si>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</si>
  <si>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</si>
  <si>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</si>
  <si>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</si>
  <si>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</si>
  <si>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</si>
  <si>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</si>
  <si>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</si>
  <si>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</si>
  <si>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</si>
  <si>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</si>
  <si>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</si>
  <si>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</si>
  <si>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</si>
  <si>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</si>
  <si>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</si>
  <si>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</si>
  <si>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</si>
  <si>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</si>
  <si>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</si>
  <si>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</si>
  <si>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</si>
  <si>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</si>
  <si>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</si>
  <si>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</si>
  <si>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</si>
  <si>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</si>
  <si>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</si>
  <si>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</si>
  <si>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</si>
  <si>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</si>
  <si>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</si>
  <si>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</si>
  <si>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</si>
  <si>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</si>
  <si>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</si>
  <si>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</si>
  <si>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</si>
  <si>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</si>
  <si>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</si>
  <si>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</si>
  <si>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</si>
  <si>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</si>
  <si>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</si>
  <si>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</si>
  <si>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</si>
  <si>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</si>
  <si>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</si>
  <si>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</si>
  <si>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</si>
  <si>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</si>
  <si>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</si>
  <si>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</si>
  <si>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</si>
  <si>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</si>
  <si>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</si>
  <si>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</si>
  <si>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</si>
  <si>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</si>
  <si>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</si>
  <si>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</si>
  <si>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</si>
  <si>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</si>
  <si>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</si>
  <si>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</si>
  <si>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</si>
  <si>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</si>
  <si>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</si>
  <si>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</si>
  <si>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</si>
  <si>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</si>
  <si>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</si>
  <si>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</si>
  <si>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</si>
  <si>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</si>
  <si>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</si>
  <si>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</si>
  <si>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</si>
  <si>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</si>
  <si>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</si>
  <si>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</si>
  <si>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</si>
  <si>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</si>
  <si>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</si>
  <si>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</si>
  <si>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</si>
  <si>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</si>
  <si>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</si>
  <si>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</si>
  <si>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</si>
  <si>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</si>
  <si>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</si>
  <si>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</si>
  <si>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</si>
  <si>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</si>
  <si>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</si>
  <si>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</si>
  <si>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</si>
  <si>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</si>
  <si>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</si>
  <si>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</si>
  <si>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</si>
  <si>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</si>
  <si>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</si>
  <si>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</si>
  <si>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</si>
  <si>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</si>
  <si>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</si>
  <si>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</si>
  <si>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</si>
  <si>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</si>
  <si>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</si>
  <si>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</si>
  <si>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</si>
  <si>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</si>
  <si>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</si>
  <si>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</si>
  <si>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</si>
  <si>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</si>
  <si>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</si>
  <si>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</si>
  <si>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</si>
  <si>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</si>
  <si>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</si>
  <si>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</si>
  <si>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</si>
  <si>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</si>
  <si>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</si>
  <si>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</si>
  <si>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</si>
  <si>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</si>
  <si>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</si>
  <si>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</si>
  <si>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</si>
  <si>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</si>
  <si>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</si>
  <si>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</si>
  <si>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</si>
  <si>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</si>
  <si>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</si>
  <si>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</si>
  <si>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</si>
  <si>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</si>
  <si>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</si>
  <si>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</si>
  <si>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</si>
  <si>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</si>
  <si>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</si>
  <si>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</si>
  <si>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</si>
  <si>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</si>
  <si>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</si>
  <si>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</si>
  <si>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</si>
  <si>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</si>
  <si>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</si>
  <si>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</si>
  <si>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</si>
  <si>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</si>
  <si>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</si>
  <si>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</si>
  <si>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</si>
  <si>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</si>
  <si>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</si>
  <si>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</si>
  <si>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</si>
  <si>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</si>
  <si>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</si>
  <si>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</si>
  <si>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</si>
  <si>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</si>
  <si>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</si>
  <si>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</si>
  <si>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</si>
  <si>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</si>
  <si>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</si>
  <si>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</si>
  <si>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</si>
  <si>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</si>
  <si>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</si>
  <si>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</si>
  <si>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</si>
  <si>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</si>
  <si>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</si>
  <si>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</si>
  <si>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</si>
  <si>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</si>
  <si>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</si>
  <si>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filename_abc_&lt;yyyymmdd&gt;</t>
    <phoneticPr fontId="13"/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</si>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</sst>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4" x14ac:knownFonts="1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6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shrinkToFit="1"/>
    </xf>
    <xf numFmtId="0" fontId="23" fillId="3" borderId="3" xfId="0" applyFont="1" applyFill="1" applyBorder="1" applyAlignment="1">
      <alignment horizontal="center" vertical="center" wrapText="1"/>
    </xf>
  </cellXfs>
  <cellStyles count="2">
    <cellStyle name="Explanatory Text 2" xfId="1" xr:uid="{00000000-0005-0000-0000-000000000000}"/>
    <cellStyle name="Normal" xfId="0" builtinId="0"/>
  </cellStyles>
  <dxfs count="68"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06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D13" sqref="D13"/>
    </sheetView>
  </sheetViews>
  <sheetFormatPr defaultColWidth="9.125" defaultRowHeight="24" customHeight="1" x14ac:dyDescent="0.15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 x14ac:dyDescent="0.15"/>
    <row r="3" spans="2:13" ht="12" customHeight="1" x14ac:dyDescent="0.2">
      <c r="H3" s="84"/>
    </row>
    <row r="4" spans="2:13" ht="24" customHeight="1" x14ac:dyDescent="0.15">
      <c r="B4" s="41" t="s">
        <v>5</v>
      </c>
    </row>
    <row r="5" spans="2:13" ht="36.75" customHeight="1" thickBot="1" x14ac:dyDescent="0.2">
      <c r="B5" s="46"/>
      <c r="C5" s="51" t="s">
        <v>4</v>
      </c>
      <c r="D5" s="51" t="s">
        <v>3</v>
      </c>
      <c r="E5" s="132" t="s">
        <v>122</v>
      </c>
      <c r="F5" s="133"/>
      <c r="G5" s="52" t="s">
        <v>123</v>
      </c>
      <c r="H5" s="52" t="s">
        <v>124</v>
      </c>
      <c r="I5" s="132" t="s">
        <v>2</v>
      </c>
      <c r="J5" s="133"/>
      <c r="K5" s="52" t="s">
        <v>1</v>
      </c>
      <c r="L5" s="52" t="s">
        <v>0</v>
      </c>
      <c r="M5" s="50" t="s">
        <v>121</v>
      </c>
    </row>
    <row r="6" spans="2:13" ht="24" customHeight="1" thickTop="1" x14ac:dyDescent="0.15">
      <c r="B6" s="42"/>
      <c r="C6" s="43"/>
      <c r="D6" s="44"/>
      <c r="E6" s="57"/>
      <c r="F6" s="58"/>
      <c r="G6" s="45"/>
      <c r="H6" s="45"/>
      <c r="I6" s="55"/>
      <c r="J6" s="53"/>
      <c r="K6" s="43"/>
      <c r="L6" s="47"/>
      <c r="M6" s="49"/>
    </row>
    <row r="7" spans="2:13" ht="24" customHeight="1" x14ac:dyDescent="0.15">
      <c r="B7" s="2"/>
      <c r="C7" s="3"/>
      <c r="D7" s="4"/>
      <c r="E7" s="59"/>
      <c r="F7" s="58"/>
      <c r="G7" s="5"/>
      <c r="H7" s="5"/>
      <c r="I7" s="56"/>
      <c r="J7" s="54"/>
      <c r="K7" s="3"/>
      <c r="L7" s="48"/>
      <c r="M7" s="49"/>
    </row>
    <row r="8" spans="2:13" ht="24" customHeight="1" x14ac:dyDescent="0.15">
      <c r="B8" s="2"/>
      <c r="C8" s="3"/>
      <c r="D8" s="4"/>
      <c r="E8" s="59"/>
      <c r="F8" s="58"/>
      <c r="G8" s="5"/>
      <c r="H8" s="5"/>
      <c r="I8" s="56"/>
      <c r="J8" s="54"/>
      <c r="K8" s="3"/>
      <c r="L8" s="48"/>
      <c r="M8" s="49"/>
    </row>
    <row r="9" spans="2:13" ht="24" customHeight="1" x14ac:dyDescent="0.15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 x14ac:dyDescent="0.15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 x14ac:dyDescent="0.15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 x14ac:dyDescent="0.15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 x14ac:dyDescent="0.15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 x14ac:dyDescent="0.15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 x14ac:dyDescent="0.15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 x14ac:dyDescent="0.15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 x14ac:dyDescent="0.15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 x14ac:dyDescent="0.15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 x14ac:dyDescent="0.15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 x14ac:dyDescent="0.15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 x14ac:dyDescent="0.15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 x14ac:dyDescent="0.15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 x14ac:dyDescent="0.15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 x14ac:dyDescent="0.15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 x14ac:dyDescent="0.15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 x14ac:dyDescent="0.15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 x14ac:dyDescent="0.15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 x14ac:dyDescent="0.15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 x14ac:dyDescent="0.15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 x14ac:dyDescent="0.15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 x14ac:dyDescent="0.15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 x14ac:dyDescent="0.15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 x14ac:dyDescent="0.15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 x14ac:dyDescent="0.15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 x14ac:dyDescent="0.15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 x14ac:dyDescent="0.15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 x14ac:dyDescent="0.15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 x14ac:dyDescent="0.15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 x14ac:dyDescent="0.15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 x14ac:dyDescent="0.15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 x14ac:dyDescent="0.15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 x14ac:dyDescent="0.15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 x14ac:dyDescent="0.15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 x14ac:dyDescent="0.15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 x14ac:dyDescent="0.15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 x14ac:dyDescent="0.15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 x14ac:dyDescent="0.15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 x14ac:dyDescent="0.15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 x14ac:dyDescent="0.15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 x14ac:dyDescent="0.15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 x14ac:dyDescent="0.15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 x14ac:dyDescent="0.15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 x14ac:dyDescent="0.15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 x14ac:dyDescent="0.15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 x14ac:dyDescent="0.15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 x14ac:dyDescent="0.15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 x14ac:dyDescent="0.15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 x14ac:dyDescent="0.15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 x14ac:dyDescent="0.15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 x14ac:dyDescent="0.15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 x14ac:dyDescent="0.15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 x14ac:dyDescent="0.15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 x14ac:dyDescent="0.15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 x14ac:dyDescent="0.15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 x14ac:dyDescent="0.15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 x14ac:dyDescent="0.15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 x14ac:dyDescent="0.15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 x14ac:dyDescent="0.15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 x14ac:dyDescent="0.15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 x14ac:dyDescent="0.15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 x14ac:dyDescent="0.15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 x14ac:dyDescent="0.15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 x14ac:dyDescent="0.15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 x14ac:dyDescent="0.15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 x14ac:dyDescent="0.15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 x14ac:dyDescent="0.15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 x14ac:dyDescent="0.15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 x14ac:dyDescent="0.15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 x14ac:dyDescent="0.15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 x14ac:dyDescent="0.15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 x14ac:dyDescent="0.15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 x14ac:dyDescent="0.15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 x14ac:dyDescent="0.15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 x14ac:dyDescent="0.15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 x14ac:dyDescent="0.15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 x14ac:dyDescent="0.15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 x14ac:dyDescent="0.15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 x14ac:dyDescent="0.15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 x14ac:dyDescent="0.15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 x14ac:dyDescent="0.15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 x14ac:dyDescent="0.15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 x14ac:dyDescent="0.15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 x14ac:dyDescent="0.15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 x14ac:dyDescent="0.15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 x14ac:dyDescent="0.15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 x14ac:dyDescent="0.15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 x14ac:dyDescent="0.15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 x14ac:dyDescent="0.15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 x14ac:dyDescent="0.15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 x14ac:dyDescent="0.15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 x14ac:dyDescent="0.15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 x14ac:dyDescent="0.15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 x14ac:dyDescent="0.15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 x14ac:dyDescent="0.15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 x14ac:dyDescent="0.15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 x14ac:dyDescent="0.15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K105"/>
  <sheetViews>
    <sheetView showGridLines="0" workbookViewId="0">
      <pane xSplit="4" ySplit="3" topLeftCell="H4" activePane="bottomRight" state="frozen"/>
      <selection pane="topRight" activeCell="E1" sqref="E1"/>
      <selection pane="bottomLeft" activeCell="A4" sqref="A4"/>
      <selection pane="bottomRight" activeCell="C34" sqref="C34"/>
    </sheetView>
  </sheetViews>
  <sheetFormatPr defaultColWidth="17.625" defaultRowHeight="13.5" x14ac:dyDescent="0.15"/>
  <cols>
    <col min="1" max="1" width="2.375" style="99" customWidth="1"/>
    <col min="2" max="2" width="5.125" style="131" customWidth="1"/>
    <col min="3" max="3" width="42.25" style="125" customWidth="1"/>
    <col min="4" max="10" width="17.625" style="124"/>
    <col min="11" max="11" width="17.625" style="126"/>
    <col min="12" max="12" width="17.625" style="124"/>
    <col min="13" max="14" width="17.625" style="126"/>
    <col min="15" max="21" width="17.625" style="124"/>
    <col min="22" max="28" width="17.625" style="99"/>
    <col min="29" max="29" width="17.625" style="124"/>
    <col min="30" max="1025" width="17.625" style="99"/>
    <col min="1026" max="16384" width="17.625" style="98"/>
  </cols>
  <sheetData>
    <row r="1" spans="1:1024" ht="10.5" customHeight="1" x14ac:dyDescent="0.15">
      <c r="A1" s="98"/>
      <c r="B1" s="127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 x14ac:dyDescent="0.15">
      <c r="A2" s="98"/>
      <c r="B2" s="140" t="s">
        <v>47</v>
      </c>
      <c r="C2" s="134" t="s">
        <v>3</v>
      </c>
      <c r="D2" s="134" t="s">
        <v>105</v>
      </c>
      <c r="E2" s="134" t="s">
        <v>28</v>
      </c>
      <c r="F2" s="134" t="s">
        <v>100</v>
      </c>
      <c r="G2" s="134" t="s">
        <v>97</v>
      </c>
      <c r="H2" s="134" t="s">
        <v>95</v>
      </c>
      <c r="I2" s="134"/>
      <c r="J2" s="134" t="s">
        <v>91</v>
      </c>
      <c r="K2" s="136" t="s">
        <v>197</v>
      </c>
      <c r="L2" s="138" t="s">
        <v>199</v>
      </c>
      <c r="M2" s="139" t="s">
        <v>85</v>
      </c>
      <c r="N2" s="139"/>
      <c r="O2" s="134" t="s">
        <v>81</v>
      </c>
      <c r="P2" s="134"/>
      <c r="Q2" s="134"/>
      <c r="R2" s="134" t="s">
        <v>46</v>
      </c>
      <c r="S2" s="134"/>
      <c r="T2" s="134"/>
      <c r="U2" s="134" t="s">
        <v>45</v>
      </c>
      <c r="V2" s="134" t="s">
        <v>44</v>
      </c>
      <c r="W2" s="134" t="s">
        <v>43</v>
      </c>
      <c r="X2" s="134" t="s">
        <v>42</v>
      </c>
      <c r="Y2" s="134" t="s">
        <v>41</v>
      </c>
      <c r="Z2" s="134" t="s">
        <v>40</v>
      </c>
      <c r="AA2" s="134" t="s">
        <v>39</v>
      </c>
      <c r="AB2" s="134"/>
      <c r="AC2" s="134" t="s">
        <v>38</v>
      </c>
      <c r="AD2" s="134" t="s">
        <v>37</v>
      </c>
      <c r="AE2" s="134"/>
      <c r="AF2" s="134"/>
      <c r="AG2" s="134"/>
      <c r="AH2" s="134" t="s">
        <v>36</v>
      </c>
      <c r="AI2" s="134"/>
      <c r="AJ2" s="134" t="s">
        <v>35</v>
      </c>
      <c r="AK2" s="134" t="s">
        <v>34</v>
      </c>
      <c r="AL2" s="134"/>
      <c r="AM2" s="134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7.75" thickBot="1" x14ac:dyDescent="0.2">
      <c r="A3" s="98"/>
      <c r="B3" s="141"/>
      <c r="C3" s="135"/>
      <c r="D3" s="135"/>
      <c r="E3" s="135"/>
      <c r="F3" s="135"/>
      <c r="G3" s="135"/>
      <c r="H3" s="100" t="s">
        <v>25</v>
      </c>
      <c r="I3" s="100" t="s">
        <v>93</v>
      </c>
      <c r="J3" s="135"/>
      <c r="K3" s="137"/>
      <c r="L3" s="135"/>
      <c r="M3" s="101" t="s">
        <v>198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5"/>
      <c r="V3" s="135"/>
      <c r="W3" s="135"/>
      <c r="X3" s="135"/>
      <c r="Y3" s="135"/>
      <c r="Z3" s="135"/>
      <c r="AA3" s="100" t="s">
        <v>31</v>
      </c>
      <c r="AB3" s="103" t="s">
        <v>30</v>
      </c>
      <c r="AC3" s="135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5"/>
      <c r="AK3" s="103" t="s">
        <v>25</v>
      </c>
      <c r="AL3" s="103" t="s">
        <v>24</v>
      </c>
      <c r="AM3" s="135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27.75" thickTop="1" x14ac:dyDescent="0.15">
      <c r="B4" s="128" t="s">
        <v>23</v>
      </c>
      <c r="C4" s="106" t="s">
        <v>22</v>
      </c>
      <c r="D4" s="105" t="s">
        <v>21</v>
      </c>
      <c r="E4" s="105" t="s">
        <v>20</v>
      </c>
      <c r="F4" s="107" t="str">
        <f>_xlfn.IFS($E4="csv","カンマ",$E4="tsv","タブ",$E4="","")</f>
        <v>カンマ</v>
      </c>
      <c r="G4" s="105" t="s">
        <v>201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200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7" x14ac:dyDescent="0.15">
      <c r="B5" s="129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str">
        <f t="shared" ref="F5:F68" si="1">_xlfn.IFS($E5="csv","カンマ",$E5="tsv","タブ",$E5="","")</f>
        <v>カンマ</v>
      </c>
      <c r="G5" s="115" t="s">
        <v>187</v>
      </c>
      <c r="H5" s="115" t="s">
        <v>9</v>
      </c>
      <c r="I5" s="115">
        <v>0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27" x14ac:dyDescent="0.15">
      <c r="B6" s="129">
        <f t="shared" si="0"/>
        <v>2</v>
      </c>
      <c r="C6" s="116" t="s">
        <v>107</v>
      </c>
      <c r="D6" s="115" t="s">
        <v>196</v>
      </c>
      <c r="E6" s="115" t="s">
        <v>20</v>
      </c>
      <c r="F6" s="107" t="str">
        <f t="shared" si="1"/>
        <v>カンマ</v>
      </c>
      <c r="G6" s="115" t="s">
        <v>187</v>
      </c>
      <c r="H6" s="115" t="s">
        <v>7</v>
      </c>
      <c r="I6" s="115">
        <v>0</v>
      </c>
      <c r="J6" s="115" t="s">
        <v>18</v>
      </c>
      <c r="K6" s="117">
        <v>2000</v>
      </c>
      <c r="L6" s="119" t="s">
        <v>183</v>
      </c>
      <c r="M6" s="117">
        <v>10</v>
      </c>
      <c r="N6" s="117">
        <v>2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15.75" x14ac:dyDescent="0.15">
      <c r="B7" s="129">
        <f t="shared" si="0"/>
        <v>3</v>
      </c>
      <c r="C7" s="116"/>
      <c r="D7" s="115"/>
      <c r="E7" s="115"/>
      <c r="F7" s="107"/>
      <c r="G7" s="115"/>
      <c r="H7" s="115"/>
      <c r="I7" s="115"/>
      <c r="J7" s="115"/>
      <c r="K7" s="117"/>
      <c r="L7" s="115"/>
      <c r="M7" s="117"/>
      <c r="N7" s="117"/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 x14ac:dyDescent="0.15">
      <c r="B8" s="129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 x14ac:dyDescent="0.15">
      <c r="B9" s="129">
        <f t="shared" si="0"/>
        <v>5</v>
      </c>
      <c r="C9" s="116"/>
      <c r="D9" s="115"/>
      <c r="E9" s="115"/>
      <c r="F9" s="107" t="str">
        <f t="shared" si="1"/>
        <v/>
      </c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 x14ac:dyDescent="0.15">
      <c r="B10" s="129">
        <f t="shared" si="0"/>
        <v>6</v>
      </c>
      <c r="C10" s="116"/>
      <c r="D10" s="115"/>
      <c r="E10" s="115"/>
      <c r="F10" s="107" t="str">
        <f t="shared" si="1"/>
        <v/>
      </c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 x14ac:dyDescent="0.15">
      <c r="B11" s="129">
        <f t="shared" si="0"/>
        <v>7</v>
      </c>
      <c r="C11" s="116"/>
      <c r="D11" s="115"/>
      <c r="E11" s="115"/>
      <c r="F11" s="107" t="str">
        <f t="shared" si="1"/>
        <v/>
      </c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 x14ac:dyDescent="0.15">
      <c r="B12" s="129">
        <f t="shared" si="0"/>
        <v>8</v>
      </c>
      <c r="C12" s="116"/>
      <c r="D12" s="115"/>
      <c r="E12" s="115"/>
      <c r="F12" s="107" t="str">
        <f t="shared" si="1"/>
        <v/>
      </c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 x14ac:dyDescent="0.15">
      <c r="B13" s="129">
        <f t="shared" si="0"/>
        <v>9</v>
      </c>
      <c r="C13" s="116"/>
      <c r="D13" s="115"/>
      <c r="E13" s="115"/>
      <c r="F13" s="107" t="str">
        <f t="shared" si="1"/>
        <v/>
      </c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 x14ac:dyDescent="0.15">
      <c r="B14" s="129">
        <f t="shared" si="0"/>
        <v>10</v>
      </c>
      <c r="C14" s="116"/>
      <c r="D14" s="115"/>
      <c r="E14" s="115"/>
      <c r="F14" s="107" t="str">
        <f t="shared" si="1"/>
        <v/>
      </c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 x14ac:dyDescent="0.15">
      <c r="B15" s="129">
        <f t="shared" si="0"/>
        <v>11</v>
      </c>
      <c r="C15" s="116"/>
      <c r="D15" s="115"/>
      <c r="E15" s="115"/>
      <c r="F15" s="107" t="str">
        <f t="shared" si="1"/>
        <v/>
      </c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 x14ac:dyDescent="0.15">
      <c r="B16" s="129">
        <f t="shared" si="0"/>
        <v>12</v>
      </c>
      <c r="C16" s="116"/>
      <c r="D16" s="115"/>
      <c r="E16" s="115"/>
      <c r="F16" s="107" t="str">
        <f t="shared" si="1"/>
        <v/>
      </c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 x14ac:dyDescent="0.15">
      <c r="B17" s="129">
        <f t="shared" si="0"/>
        <v>13</v>
      </c>
      <c r="C17" s="116"/>
      <c r="D17" s="115"/>
      <c r="E17" s="115"/>
      <c r="F17" s="107" t="str">
        <f t="shared" si="1"/>
        <v/>
      </c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 x14ac:dyDescent="0.15">
      <c r="B18" s="129">
        <f t="shared" si="0"/>
        <v>14</v>
      </c>
      <c r="C18" s="116"/>
      <c r="D18" s="115"/>
      <c r="E18" s="115"/>
      <c r="F18" s="107" t="str">
        <f t="shared" si="1"/>
        <v/>
      </c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 x14ac:dyDescent="0.15">
      <c r="B19" s="129">
        <f t="shared" si="0"/>
        <v>15</v>
      </c>
      <c r="C19" s="116"/>
      <c r="D19" s="115"/>
      <c r="E19" s="115"/>
      <c r="F19" s="107" t="str">
        <f t="shared" si="1"/>
        <v/>
      </c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 x14ac:dyDescent="0.15">
      <c r="B20" s="129">
        <f t="shared" si="0"/>
        <v>16</v>
      </c>
      <c r="C20" s="116"/>
      <c r="D20" s="115"/>
      <c r="E20" s="115"/>
      <c r="F20" s="107" t="str">
        <f t="shared" si="1"/>
        <v/>
      </c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 x14ac:dyDescent="0.15">
      <c r="B21" s="129">
        <f t="shared" si="0"/>
        <v>17</v>
      </c>
      <c r="C21" s="116"/>
      <c r="D21" s="115"/>
      <c r="E21" s="115"/>
      <c r="F21" s="107" t="str">
        <f t="shared" si="1"/>
        <v/>
      </c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 x14ac:dyDescent="0.15">
      <c r="B22" s="129">
        <f t="shared" si="0"/>
        <v>18</v>
      </c>
      <c r="C22" s="116"/>
      <c r="D22" s="115"/>
      <c r="E22" s="115"/>
      <c r="F22" s="107" t="str">
        <f t="shared" si="1"/>
        <v/>
      </c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 x14ac:dyDescent="0.15">
      <c r="B23" s="129">
        <f t="shared" si="0"/>
        <v>19</v>
      </c>
      <c r="C23" s="116"/>
      <c r="D23" s="115"/>
      <c r="E23" s="115"/>
      <c r="F23" s="107" t="str">
        <f t="shared" si="1"/>
        <v/>
      </c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 x14ac:dyDescent="0.15">
      <c r="B24" s="129">
        <f t="shared" si="0"/>
        <v>20</v>
      </c>
      <c r="C24" s="116"/>
      <c r="D24" s="115"/>
      <c r="E24" s="115"/>
      <c r="F24" s="107" t="str">
        <f t="shared" si="1"/>
        <v/>
      </c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 x14ac:dyDescent="0.15">
      <c r="B25" s="129">
        <f t="shared" si="0"/>
        <v>21</v>
      </c>
      <c r="C25" s="116"/>
      <c r="D25" s="115"/>
      <c r="E25" s="115"/>
      <c r="F25" s="107" t="str">
        <f t="shared" si="1"/>
        <v/>
      </c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 x14ac:dyDescent="0.15">
      <c r="B26" s="129">
        <f t="shared" si="0"/>
        <v>22</v>
      </c>
      <c r="C26" s="116"/>
      <c r="D26" s="115"/>
      <c r="E26" s="115"/>
      <c r="F26" s="107" t="str">
        <f t="shared" si="1"/>
        <v/>
      </c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 x14ac:dyDescent="0.15">
      <c r="B27" s="129">
        <f t="shared" si="0"/>
        <v>23</v>
      </c>
      <c r="C27" s="116"/>
      <c r="D27" s="115"/>
      <c r="E27" s="115"/>
      <c r="F27" s="107" t="str">
        <f t="shared" si="1"/>
        <v/>
      </c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 x14ac:dyDescent="0.15">
      <c r="B28" s="129">
        <f t="shared" si="0"/>
        <v>24</v>
      </c>
      <c r="C28" s="116"/>
      <c r="D28" s="115"/>
      <c r="E28" s="115"/>
      <c r="F28" s="107" t="str">
        <f t="shared" si="1"/>
        <v/>
      </c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 x14ac:dyDescent="0.15">
      <c r="B29" s="129">
        <f t="shared" si="0"/>
        <v>25</v>
      </c>
      <c r="C29" s="116"/>
      <c r="D29" s="115"/>
      <c r="E29" s="115"/>
      <c r="F29" s="107" t="str">
        <f t="shared" si="1"/>
        <v/>
      </c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 x14ac:dyDescent="0.15">
      <c r="B30" s="129">
        <f t="shared" si="0"/>
        <v>26</v>
      </c>
      <c r="C30" s="116"/>
      <c r="D30" s="115"/>
      <c r="E30" s="115"/>
      <c r="F30" s="107" t="str">
        <f t="shared" si="1"/>
        <v/>
      </c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 x14ac:dyDescent="0.15">
      <c r="B31" s="129">
        <f t="shared" si="0"/>
        <v>27</v>
      </c>
      <c r="C31" s="116"/>
      <c r="D31" s="115"/>
      <c r="E31" s="115"/>
      <c r="F31" s="107" t="str">
        <f t="shared" si="1"/>
        <v/>
      </c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 x14ac:dyDescent="0.15">
      <c r="B32" s="129">
        <f t="shared" si="0"/>
        <v>28</v>
      </c>
      <c r="C32" s="116"/>
      <c r="D32" s="115"/>
      <c r="E32" s="115"/>
      <c r="F32" s="107" t="str">
        <f t="shared" si="1"/>
        <v/>
      </c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 x14ac:dyDescent="0.15">
      <c r="B33" s="129">
        <f t="shared" si="0"/>
        <v>29</v>
      </c>
      <c r="C33" s="116"/>
      <c r="D33" s="115"/>
      <c r="E33" s="115"/>
      <c r="F33" s="107" t="str">
        <f t="shared" si="1"/>
        <v/>
      </c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 x14ac:dyDescent="0.15">
      <c r="B34" s="129">
        <f t="shared" si="0"/>
        <v>30</v>
      </c>
      <c r="C34" s="116"/>
      <c r="D34" s="115"/>
      <c r="E34" s="115"/>
      <c r="F34" s="107" t="str">
        <f t="shared" si="1"/>
        <v/>
      </c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 x14ac:dyDescent="0.15">
      <c r="B35" s="129">
        <f t="shared" si="0"/>
        <v>31</v>
      </c>
      <c r="C35" s="116"/>
      <c r="D35" s="115"/>
      <c r="E35" s="115"/>
      <c r="F35" s="107" t="str">
        <f t="shared" si="1"/>
        <v/>
      </c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 x14ac:dyDescent="0.15">
      <c r="B36" s="129">
        <f t="shared" si="0"/>
        <v>32</v>
      </c>
      <c r="C36" s="116"/>
      <c r="D36" s="115"/>
      <c r="E36" s="115"/>
      <c r="F36" s="107" t="str">
        <f t="shared" si="1"/>
        <v/>
      </c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 x14ac:dyDescent="0.15">
      <c r="B37" s="129">
        <f t="shared" si="0"/>
        <v>33</v>
      </c>
      <c r="C37" s="116"/>
      <c r="D37" s="115"/>
      <c r="E37" s="115"/>
      <c r="F37" s="107" t="str">
        <f t="shared" si="1"/>
        <v/>
      </c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 x14ac:dyDescent="0.15">
      <c r="B38" s="129">
        <f t="shared" si="0"/>
        <v>34</v>
      </c>
      <c r="C38" s="116"/>
      <c r="D38" s="115"/>
      <c r="E38" s="115"/>
      <c r="F38" s="107" t="str">
        <f t="shared" si="1"/>
        <v/>
      </c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 x14ac:dyDescent="0.15">
      <c r="B39" s="129">
        <f t="shared" si="0"/>
        <v>35</v>
      </c>
      <c r="C39" s="116"/>
      <c r="D39" s="115"/>
      <c r="E39" s="115"/>
      <c r="F39" s="107" t="str">
        <f t="shared" si="1"/>
        <v/>
      </c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 x14ac:dyDescent="0.15">
      <c r="B40" s="129">
        <f t="shared" si="0"/>
        <v>36</v>
      </c>
      <c r="C40" s="116"/>
      <c r="D40" s="115"/>
      <c r="E40" s="115"/>
      <c r="F40" s="107" t="str">
        <f t="shared" si="1"/>
        <v/>
      </c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 x14ac:dyDescent="0.15">
      <c r="B41" s="129">
        <f t="shared" si="0"/>
        <v>37</v>
      </c>
      <c r="C41" s="116"/>
      <c r="D41" s="115"/>
      <c r="E41" s="115"/>
      <c r="F41" s="107" t="str">
        <f t="shared" si="1"/>
        <v/>
      </c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 x14ac:dyDescent="0.15">
      <c r="B42" s="129">
        <f t="shared" si="0"/>
        <v>38</v>
      </c>
      <c r="C42" s="116"/>
      <c r="D42" s="115"/>
      <c r="E42" s="115"/>
      <c r="F42" s="107" t="str">
        <f t="shared" si="1"/>
        <v/>
      </c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 x14ac:dyDescent="0.15">
      <c r="B43" s="129">
        <f t="shared" si="0"/>
        <v>39</v>
      </c>
      <c r="C43" s="116"/>
      <c r="D43" s="115"/>
      <c r="E43" s="115"/>
      <c r="F43" s="107" t="str">
        <f t="shared" si="1"/>
        <v/>
      </c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 x14ac:dyDescent="0.15">
      <c r="B44" s="129">
        <f t="shared" si="0"/>
        <v>40</v>
      </c>
      <c r="C44" s="116"/>
      <c r="D44" s="115"/>
      <c r="E44" s="115"/>
      <c r="F44" s="107" t="str">
        <f t="shared" si="1"/>
        <v/>
      </c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 x14ac:dyDescent="0.15">
      <c r="B45" s="129">
        <f t="shared" si="0"/>
        <v>41</v>
      </c>
      <c r="C45" s="116"/>
      <c r="D45" s="115"/>
      <c r="E45" s="115"/>
      <c r="F45" s="107" t="str">
        <f t="shared" si="1"/>
        <v/>
      </c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 x14ac:dyDescent="0.15">
      <c r="B46" s="129">
        <f t="shared" si="0"/>
        <v>42</v>
      </c>
      <c r="C46" s="116"/>
      <c r="D46" s="115"/>
      <c r="E46" s="115"/>
      <c r="F46" s="107" t="str">
        <f t="shared" si="1"/>
        <v/>
      </c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 x14ac:dyDescent="0.15">
      <c r="B47" s="129">
        <f t="shared" si="0"/>
        <v>43</v>
      </c>
      <c r="C47" s="116"/>
      <c r="D47" s="115"/>
      <c r="E47" s="115"/>
      <c r="F47" s="107" t="str">
        <f t="shared" si="1"/>
        <v/>
      </c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 x14ac:dyDescent="0.15">
      <c r="B48" s="129">
        <f t="shared" si="0"/>
        <v>44</v>
      </c>
      <c r="C48" s="116"/>
      <c r="D48" s="115"/>
      <c r="E48" s="115"/>
      <c r="F48" s="107" t="str">
        <f t="shared" si="1"/>
        <v/>
      </c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 x14ac:dyDescent="0.15">
      <c r="B49" s="129">
        <f t="shared" si="0"/>
        <v>45</v>
      </c>
      <c r="C49" s="116"/>
      <c r="D49" s="115"/>
      <c r="E49" s="115"/>
      <c r="F49" s="107" t="str">
        <f t="shared" si="1"/>
        <v/>
      </c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 x14ac:dyDescent="0.15">
      <c r="B50" s="129">
        <f t="shared" si="0"/>
        <v>46</v>
      </c>
      <c r="C50" s="116"/>
      <c r="D50" s="115"/>
      <c r="E50" s="115"/>
      <c r="F50" s="107" t="str">
        <f t="shared" si="1"/>
        <v/>
      </c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 x14ac:dyDescent="0.15">
      <c r="B51" s="129">
        <f t="shared" si="0"/>
        <v>47</v>
      </c>
      <c r="C51" s="116"/>
      <c r="D51" s="115"/>
      <c r="E51" s="115"/>
      <c r="F51" s="107" t="str">
        <f t="shared" si="1"/>
        <v/>
      </c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 x14ac:dyDescent="0.15">
      <c r="B52" s="129">
        <f t="shared" si="0"/>
        <v>48</v>
      </c>
      <c r="C52" s="116"/>
      <c r="D52" s="115"/>
      <c r="E52" s="115"/>
      <c r="F52" s="107" t="str">
        <f t="shared" si="1"/>
        <v/>
      </c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 x14ac:dyDescent="0.15">
      <c r="B53" s="129">
        <f t="shared" si="0"/>
        <v>49</v>
      </c>
      <c r="C53" s="116"/>
      <c r="D53" s="115"/>
      <c r="E53" s="115"/>
      <c r="F53" s="107" t="str">
        <f t="shared" si="1"/>
        <v/>
      </c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 x14ac:dyDescent="0.15">
      <c r="B54" s="129">
        <f t="shared" si="0"/>
        <v>50</v>
      </c>
      <c r="C54" s="116"/>
      <c r="D54" s="115"/>
      <c r="E54" s="115"/>
      <c r="F54" s="107" t="str">
        <f t="shared" si="1"/>
        <v/>
      </c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 x14ac:dyDescent="0.15">
      <c r="B55" s="129">
        <f t="shared" si="0"/>
        <v>51</v>
      </c>
      <c r="C55" s="116"/>
      <c r="D55" s="115"/>
      <c r="E55" s="115"/>
      <c r="F55" s="107" t="str">
        <f t="shared" si="1"/>
        <v/>
      </c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 x14ac:dyDescent="0.15">
      <c r="B56" s="129">
        <f t="shared" si="0"/>
        <v>52</v>
      </c>
      <c r="C56" s="116"/>
      <c r="D56" s="115"/>
      <c r="E56" s="115"/>
      <c r="F56" s="107" t="str">
        <f t="shared" si="1"/>
        <v/>
      </c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 x14ac:dyDescent="0.15">
      <c r="B57" s="129">
        <f t="shared" si="0"/>
        <v>53</v>
      </c>
      <c r="C57" s="116"/>
      <c r="D57" s="115"/>
      <c r="E57" s="115"/>
      <c r="F57" s="107" t="str">
        <f t="shared" si="1"/>
        <v/>
      </c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 x14ac:dyDescent="0.15">
      <c r="B58" s="129">
        <f t="shared" si="0"/>
        <v>54</v>
      </c>
      <c r="C58" s="116"/>
      <c r="D58" s="115"/>
      <c r="E58" s="115"/>
      <c r="F58" s="107" t="str">
        <f t="shared" si="1"/>
        <v/>
      </c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 x14ac:dyDescent="0.15">
      <c r="B59" s="129">
        <f t="shared" si="0"/>
        <v>55</v>
      </c>
      <c r="C59" s="116"/>
      <c r="D59" s="115"/>
      <c r="E59" s="115"/>
      <c r="F59" s="107" t="str">
        <f t="shared" si="1"/>
        <v/>
      </c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 x14ac:dyDescent="0.15">
      <c r="B60" s="129">
        <f t="shared" si="0"/>
        <v>56</v>
      </c>
      <c r="C60" s="116"/>
      <c r="D60" s="115"/>
      <c r="E60" s="115"/>
      <c r="F60" s="107" t="str">
        <f t="shared" si="1"/>
        <v/>
      </c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 x14ac:dyDescent="0.15">
      <c r="B61" s="129">
        <f t="shared" si="0"/>
        <v>57</v>
      </c>
      <c r="C61" s="116"/>
      <c r="D61" s="115"/>
      <c r="E61" s="115"/>
      <c r="F61" s="107" t="str">
        <f t="shared" si="1"/>
        <v/>
      </c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 x14ac:dyDescent="0.15">
      <c r="B62" s="129">
        <f t="shared" si="0"/>
        <v>58</v>
      </c>
      <c r="C62" s="116"/>
      <c r="D62" s="115"/>
      <c r="E62" s="115"/>
      <c r="F62" s="107" t="str">
        <f t="shared" si="1"/>
        <v/>
      </c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 x14ac:dyDescent="0.15">
      <c r="B63" s="129">
        <f t="shared" si="0"/>
        <v>59</v>
      </c>
      <c r="C63" s="116"/>
      <c r="D63" s="115"/>
      <c r="E63" s="115"/>
      <c r="F63" s="107" t="str">
        <f t="shared" si="1"/>
        <v/>
      </c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 x14ac:dyDescent="0.15">
      <c r="B64" s="129">
        <f t="shared" si="0"/>
        <v>60</v>
      </c>
      <c r="C64" s="116"/>
      <c r="D64" s="115"/>
      <c r="E64" s="115"/>
      <c r="F64" s="107" t="str">
        <f t="shared" si="1"/>
        <v/>
      </c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 x14ac:dyDescent="0.15">
      <c r="B65" s="129">
        <f t="shared" si="0"/>
        <v>61</v>
      </c>
      <c r="C65" s="116"/>
      <c r="D65" s="115"/>
      <c r="E65" s="115"/>
      <c r="F65" s="107" t="str">
        <f t="shared" si="1"/>
        <v/>
      </c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 x14ac:dyDescent="0.15">
      <c r="B66" s="129">
        <f t="shared" si="0"/>
        <v>62</v>
      </c>
      <c r="C66" s="116"/>
      <c r="D66" s="115"/>
      <c r="E66" s="115"/>
      <c r="F66" s="107" t="str">
        <f t="shared" si="1"/>
        <v/>
      </c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 x14ac:dyDescent="0.15">
      <c r="B67" s="129">
        <f t="shared" si="0"/>
        <v>63</v>
      </c>
      <c r="C67" s="116"/>
      <c r="D67" s="115"/>
      <c r="E67" s="115"/>
      <c r="F67" s="107" t="str">
        <f t="shared" si="1"/>
        <v/>
      </c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 x14ac:dyDescent="0.15">
      <c r="B68" s="129">
        <f t="shared" si="0"/>
        <v>64</v>
      </c>
      <c r="C68" s="116"/>
      <c r="D68" s="115"/>
      <c r="E68" s="115"/>
      <c r="F68" s="107" t="str">
        <f t="shared" si="1"/>
        <v/>
      </c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 x14ac:dyDescent="0.15">
      <c r="B69" s="129">
        <f t="shared" ref="B69:B104" si="2">ROW()-4</f>
        <v>65</v>
      </c>
      <c r="C69" s="116"/>
      <c r="D69" s="115"/>
      <c r="E69" s="115"/>
      <c r="F69" s="107" t="str">
        <f t="shared" ref="F69:F104" si="3">_xlfn.IFS($E69="csv","カンマ",$E69="tsv","タブ",$E69="","")</f>
        <v/>
      </c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 x14ac:dyDescent="0.15">
      <c r="B70" s="129">
        <f t="shared" si="2"/>
        <v>66</v>
      </c>
      <c r="C70" s="116"/>
      <c r="D70" s="115"/>
      <c r="E70" s="115"/>
      <c r="F70" s="107" t="str">
        <f t="shared" si="3"/>
        <v/>
      </c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 x14ac:dyDescent="0.15">
      <c r="B71" s="129">
        <f t="shared" si="2"/>
        <v>67</v>
      </c>
      <c r="C71" s="116"/>
      <c r="D71" s="115"/>
      <c r="E71" s="115"/>
      <c r="F71" s="107" t="str">
        <f t="shared" si="3"/>
        <v/>
      </c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 x14ac:dyDescent="0.15">
      <c r="B72" s="129">
        <f t="shared" si="2"/>
        <v>68</v>
      </c>
      <c r="C72" s="116"/>
      <c r="D72" s="115"/>
      <c r="E72" s="115"/>
      <c r="F72" s="107" t="str">
        <f t="shared" si="3"/>
        <v/>
      </c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 x14ac:dyDescent="0.15">
      <c r="B73" s="129">
        <f t="shared" si="2"/>
        <v>69</v>
      </c>
      <c r="C73" s="116"/>
      <c r="D73" s="115"/>
      <c r="E73" s="115"/>
      <c r="F73" s="107" t="str">
        <f t="shared" si="3"/>
        <v/>
      </c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 x14ac:dyDescent="0.15">
      <c r="B74" s="129">
        <f t="shared" si="2"/>
        <v>70</v>
      </c>
      <c r="C74" s="116"/>
      <c r="D74" s="115"/>
      <c r="E74" s="115"/>
      <c r="F74" s="107" t="str">
        <f t="shared" si="3"/>
        <v/>
      </c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 x14ac:dyDescent="0.15">
      <c r="B75" s="129">
        <f t="shared" si="2"/>
        <v>71</v>
      </c>
      <c r="C75" s="116"/>
      <c r="D75" s="115"/>
      <c r="E75" s="115"/>
      <c r="F75" s="107" t="str">
        <f t="shared" si="3"/>
        <v/>
      </c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 x14ac:dyDescent="0.15">
      <c r="B76" s="129">
        <f t="shared" si="2"/>
        <v>72</v>
      </c>
      <c r="C76" s="116"/>
      <c r="D76" s="115"/>
      <c r="E76" s="115"/>
      <c r="F76" s="107" t="str">
        <f t="shared" si="3"/>
        <v/>
      </c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 x14ac:dyDescent="0.15">
      <c r="B77" s="129">
        <f t="shared" si="2"/>
        <v>73</v>
      </c>
      <c r="C77" s="116"/>
      <c r="D77" s="115"/>
      <c r="E77" s="115"/>
      <c r="F77" s="107" t="str">
        <f t="shared" si="3"/>
        <v/>
      </c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 x14ac:dyDescent="0.15">
      <c r="B78" s="129">
        <f t="shared" si="2"/>
        <v>74</v>
      </c>
      <c r="C78" s="116"/>
      <c r="D78" s="115"/>
      <c r="E78" s="115"/>
      <c r="F78" s="107" t="str">
        <f t="shared" si="3"/>
        <v/>
      </c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 x14ac:dyDescent="0.15">
      <c r="B79" s="129">
        <f t="shared" si="2"/>
        <v>75</v>
      </c>
      <c r="C79" s="116"/>
      <c r="D79" s="115"/>
      <c r="E79" s="115"/>
      <c r="F79" s="107" t="str">
        <f t="shared" si="3"/>
        <v/>
      </c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 x14ac:dyDescent="0.15">
      <c r="B80" s="129">
        <f t="shared" si="2"/>
        <v>76</v>
      </c>
      <c r="C80" s="116"/>
      <c r="D80" s="115"/>
      <c r="E80" s="115"/>
      <c r="F80" s="107" t="str">
        <f t="shared" si="3"/>
        <v/>
      </c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 x14ac:dyDescent="0.15">
      <c r="B81" s="129">
        <f t="shared" si="2"/>
        <v>77</v>
      </c>
      <c r="C81" s="116"/>
      <c r="D81" s="115"/>
      <c r="E81" s="115"/>
      <c r="F81" s="107" t="str">
        <f t="shared" si="3"/>
        <v/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 x14ac:dyDescent="0.15">
      <c r="B82" s="129">
        <f t="shared" si="2"/>
        <v>78</v>
      </c>
      <c r="C82" s="116"/>
      <c r="D82" s="115"/>
      <c r="E82" s="115"/>
      <c r="F82" s="107" t="str">
        <f t="shared" si="3"/>
        <v/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 x14ac:dyDescent="0.15">
      <c r="B83" s="129">
        <f t="shared" si="2"/>
        <v>79</v>
      </c>
      <c r="C83" s="116"/>
      <c r="D83" s="115"/>
      <c r="E83" s="115"/>
      <c r="F83" s="107" t="str">
        <f t="shared" si="3"/>
        <v/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 x14ac:dyDescent="0.15">
      <c r="B84" s="129">
        <f t="shared" si="2"/>
        <v>80</v>
      </c>
      <c r="C84" s="116"/>
      <c r="D84" s="115"/>
      <c r="E84" s="115"/>
      <c r="F84" s="107" t="str">
        <f t="shared" si="3"/>
        <v/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 x14ac:dyDescent="0.15">
      <c r="B85" s="129">
        <f t="shared" si="2"/>
        <v>81</v>
      </c>
      <c r="C85" s="116"/>
      <c r="D85" s="115"/>
      <c r="E85" s="115"/>
      <c r="F85" s="107" t="str">
        <f t="shared" si="3"/>
        <v/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 x14ac:dyDescent="0.15">
      <c r="B86" s="129">
        <f t="shared" si="2"/>
        <v>82</v>
      </c>
      <c r="C86" s="116"/>
      <c r="D86" s="115"/>
      <c r="E86" s="115"/>
      <c r="F86" s="107" t="str">
        <f t="shared" si="3"/>
        <v/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 x14ac:dyDescent="0.15">
      <c r="B87" s="129">
        <f t="shared" si="2"/>
        <v>83</v>
      </c>
      <c r="C87" s="116"/>
      <c r="D87" s="115"/>
      <c r="E87" s="115"/>
      <c r="F87" s="107" t="str">
        <f t="shared" si="3"/>
        <v/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 x14ac:dyDescent="0.15">
      <c r="B88" s="129">
        <f t="shared" si="2"/>
        <v>84</v>
      </c>
      <c r="C88" s="116"/>
      <c r="D88" s="115"/>
      <c r="E88" s="115"/>
      <c r="F88" s="107" t="str">
        <f t="shared" si="3"/>
        <v/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 x14ac:dyDescent="0.15">
      <c r="B89" s="129">
        <f t="shared" si="2"/>
        <v>85</v>
      </c>
      <c r="C89" s="116"/>
      <c r="D89" s="115"/>
      <c r="E89" s="115"/>
      <c r="F89" s="107" t="str">
        <f t="shared" si="3"/>
        <v/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 x14ac:dyDescent="0.15">
      <c r="B90" s="129">
        <f t="shared" si="2"/>
        <v>86</v>
      </c>
      <c r="C90" s="116"/>
      <c r="D90" s="115"/>
      <c r="E90" s="115"/>
      <c r="F90" s="107" t="str">
        <f t="shared" si="3"/>
        <v/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 x14ac:dyDescent="0.15">
      <c r="B91" s="129">
        <f t="shared" si="2"/>
        <v>87</v>
      </c>
      <c r="C91" s="116"/>
      <c r="D91" s="115"/>
      <c r="E91" s="115"/>
      <c r="F91" s="107" t="str">
        <f t="shared" si="3"/>
        <v/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 x14ac:dyDescent="0.15">
      <c r="B92" s="129">
        <f t="shared" si="2"/>
        <v>88</v>
      </c>
      <c r="C92" s="116"/>
      <c r="D92" s="115"/>
      <c r="E92" s="115"/>
      <c r="F92" s="107" t="str">
        <f t="shared" si="3"/>
        <v/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 x14ac:dyDescent="0.15">
      <c r="B93" s="129">
        <f t="shared" si="2"/>
        <v>89</v>
      </c>
      <c r="C93" s="116"/>
      <c r="D93" s="115"/>
      <c r="E93" s="115"/>
      <c r="F93" s="107" t="str">
        <f t="shared" si="3"/>
        <v/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 x14ac:dyDescent="0.15">
      <c r="B94" s="129">
        <f t="shared" si="2"/>
        <v>90</v>
      </c>
      <c r="C94" s="116"/>
      <c r="D94" s="115"/>
      <c r="E94" s="115"/>
      <c r="F94" s="107" t="str">
        <f t="shared" si="3"/>
        <v/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 x14ac:dyDescent="0.15">
      <c r="B95" s="129">
        <f t="shared" si="2"/>
        <v>91</v>
      </c>
      <c r="C95" s="116"/>
      <c r="D95" s="115"/>
      <c r="E95" s="115"/>
      <c r="F95" s="107" t="str">
        <f t="shared" si="3"/>
        <v/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 x14ac:dyDescent="0.15">
      <c r="B96" s="129">
        <f t="shared" si="2"/>
        <v>92</v>
      </c>
      <c r="C96" s="116"/>
      <c r="D96" s="115"/>
      <c r="E96" s="115"/>
      <c r="F96" s="107" t="str">
        <f t="shared" si="3"/>
        <v/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 x14ac:dyDescent="0.15">
      <c r="B97" s="129">
        <f t="shared" si="2"/>
        <v>93</v>
      </c>
      <c r="C97" s="116"/>
      <c r="D97" s="115"/>
      <c r="E97" s="115"/>
      <c r="F97" s="107" t="str">
        <f t="shared" si="3"/>
        <v/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 x14ac:dyDescent="0.15">
      <c r="B98" s="129">
        <f t="shared" si="2"/>
        <v>94</v>
      </c>
      <c r="C98" s="116"/>
      <c r="D98" s="115"/>
      <c r="E98" s="115"/>
      <c r="F98" s="107" t="str">
        <f t="shared" si="3"/>
        <v/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 x14ac:dyDescent="0.15">
      <c r="B99" s="129">
        <f t="shared" si="2"/>
        <v>95</v>
      </c>
      <c r="C99" s="116"/>
      <c r="D99" s="115"/>
      <c r="E99" s="115"/>
      <c r="F99" s="107" t="str">
        <f t="shared" si="3"/>
        <v/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 x14ac:dyDescent="0.15">
      <c r="B100" s="129">
        <f t="shared" si="2"/>
        <v>96</v>
      </c>
      <c r="C100" s="116"/>
      <c r="D100" s="115"/>
      <c r="E100" s="115"/>
      <c r="F100" s="107" t="str">
        <f t="shared" si="3"/>
        <v/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 x14ac:dyDescent="0.15">
      <c r="B101" s="129">
        <f t="shared" si="2"/>
        <v>97</v>
      </c>
      <c r="C101" s="116"/>
      <c r="D101" s="115"/>
      <c r="E101" s="115"/>
      <c r="F101" s="107" t="str">
        <f t="shared" si="3"/>
        <v/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 x14ac:dyDescent="0.15">
      <c r="B102" s="129">
        <f t="shared" si="2"/>
        <v>98</v>
      </c>
      <c r="C102" s="116"/>
      <c r="D102" s="115"/>
      <c r="E102" s="115"/>
      <c r="F102" s="107" t="str">
        <f t="shared" si="3"/>
        <v/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 x14ac:dyDescent="0.15">
      <c r="B103" s="129">
        <f t="shared" si="2"/>
        <v>99</v>
      </c>
      <c r="C103" s="116"/>
      <c r="D103" s="115"/>
      <c r="E103" s="115"/>
      <c r="F103" s="107" t="str">
        <f t="shared" si="3"/>
        <v/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 x14ac:dyDescent="0.15">
      <c r="B104" s="129">
        <f t="shared" si="2"/>
        <v>100</v>
      </c>
      <c r="C104" s="116"/>
      <c r="D104" s="115"/>
      <c r="E104" s="115"/>
      <c r="F104" s="107" t="str">
        <f t="shared" si="3"/>
        <v/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 x14ac:dyDescent="0.15">
      <c r="B105" s="130" t="s">
        <v>6</v>
      </c>
      <c r="C105" s="120"/>
      <c r="D105" s="121"/>
      <c r="E105" s="121"/>
      <c r="F105" s="121"/>
      <c r="G105" s="121"/>
      <c r="H105" s="121"/>
      <c r="I105" s="121"/>
      <c r="J105" s="121"/>
      <c r="K105" s="122"/>
      <c r="L105" s="121"/>
      <c r="M105" s="122"/>
      <c r="N105" s="122"/>
      <c r="O105" s="121"/>
      <c r="P105" s="121"/>
      <c r="Q105" s="121"/>
      <c r="R105" s="121"/>
      <c r="S105" s="121"/>
      <c r="T105" s="121"/>
      <c r="U105" s="121"/>
      <c r="V105" s="123"/>
      <c r="W105" s="123"/>
      <c r="X105" s="123"/>
      <c r="Y105" s="123"/>
      <c r="Z105" s="123"/>
      <c r="AA105" s="123"/>
      <c r="AB105" s="123"/>
      <c r="AC105" s="121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1"/>
    </row>
  </sheetData>
  <sheetProtection sheet="1" objects="1" scenarios="1"/>
  <mergeCells count="26">
    <mergeCell ref="B2:B3"/>
    <mergeCell ref="C2:C3"/>
    <mergeCell ref="D2:D3"/>
    <mergeCell ref="E2:E3"/>
    <mergeCell ref="F2:F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</mergeCells>
  <phoneticPr fontId="13"/>
  <conditionalFormatting sqref="M10:N34 M4:N8">
    <cfRule type="expression" dxfId="67" priority="67">
      <formula>$L4="差分"</formula>
    </cfRule>
    <cfRule type="expression" dxfId="66" priority="68">
      <formula>$L4="差分"</formula>
    </cfRule>
  </conditionalFormatting>
  <conditionalFormatting sqref="O4:Q7 O10:Q34">
    <cfRule type="expression" dxfId="65" priority="69">
      <formula>$L4="全件"</formula>
    </cfRule>
  </conditionalFormatting>
  <conditionalFormatting sqref="AF4:AF7 AF10:AF34">
    <cfRule type="expression" dxfId="64" priority="70">
      <formula>$AD4="なし"</formula>
    </cfRule>
  </conditionalFormatting>
  <conditionalFormatting sqref="AI4:AI7 AI10:AI34">
    <cfRule type="expression" dxfId="63" priority="71">
      <formula>$AH4="なし"</formula>
    </cfRule>
    <cfRule type="expression" dxfId="62" priority="72">
      <formula>$AH4="なし"</formula>
    </cfRule>
  </conditionalFormatting>
  <conditionalFormatting sqref="AL4:AL7 AL10:AL34">
    <cfRule type="expression" dxfId="61" priority="73">
      <formula>$AK4="なし"</formula>
    </cfRule>
    <cfRule type="expression" dxfId="60" priority="74">
      <formula>$AK4="なし"</formula>
    </cfRule>
  </conditionalFormatting>
  <conditionalFormatting sqref="I10:I34 I4:I8">
    <cfRule type="expression" dxfId="59" priority="75">
      <formula>$H4="なし"</formula>
    </cfRule>
  </conditionalFormatting>
  <conditionalFormatting sqref="D5:D7 D10:D34">
    <cfRule type="duplicateValues" dxfId="58" priority="76"/>
  </conditionalFormatting>
  <conditionalFormatting sqref="F4:F104">
    <cfRule type="expression" dxfId="57" priority="77">
      <formula>AND($E4="tsv",$F4="カンマ")</formula>
    </cfRule>
    <cfRule type="expression" dxfId="56" priority="78">
      <formula>AND($E4="csv",$F4="タブ")</formula>
    </cfRule>
  </conditionalFormatting>
  <conditionalFormatting sqref="AE4:AE7 AE10:AE34">
    <cfRule type="expression" dxfId="55" priority="79">
      <formula>$AD4="なし"</formula>
    </cfRule>
  </conditionalFormatting>
  <conditionalFormatting sqref="T4:T7 T10:T34">
    <cfRule type="expression" dxfId="54" priority="80">
      <formula>$R4="なし"</formula>
    </cfRule>
  </conditionalFormatting>
  <conditionalFormatting sqref="S4:S7 S10:S34">
    <cfRule type="expression" dxfId="53" priority="81">
      <formula>$R4="なし"</formula>
    </cfRule>
  </conditionalFormatting>
  <conditionalFormatting sqref="M35:N100">
    <cfRule type="expression" dxfId="52" priority="52">
      <formula>$L35="差分"</formula>
    </cfRule>
    <cfRule type="expression" dxfId="51" priority="53">
      <formula>$L35="差分"</formula>
    </cfRule>
  </conditionalFormatting>
  <conditionalFormatting sqref="O35:Q100">
    <cfRule type="expression" dxfId="50" priority="54">
      <formula>$L35="全件"</formula>
    </cfRule>
  </conditionalFormatting>
  <conditionalFormatting sqref="AF35:AF100">
    <cfRule type="expression" dxfId="49" priority="55">
      <formula>$AD35="なし"</formula>
    </cfRule>
  </conditionalFormatting>
  <conditionalFormatting sqref="AI35:AI100">
    <cfRule type="expression" dxfId="48" priority="56">
      <formula>$AH35="なし"</formula>
    </cfRule>
    <cfRule type="expression" dxfId="47" priority="57">
      <formula>$AH35="なし"</formula>
    </cfRule>
  </conditionalFormatting>
  <conditionalFormatting sqref="AL35:AL100">
    <cfRule type="expression" dxfId="46" priority="58">
      <formula>$AK35="なし"</formula>
    </cfRule>
    <cfRule type="expression" dxfId="45" priority="59">
      <formula>$AK35="なし"</formula>
    </cfRule>
  </conditionalFormatting>
  <conditionalFormatting sqref="I35:I100">
    <cfRule type="expression" dxfId="44" priority="60">
      <formula>$H35="なし"</formula>
    </cfRule>
  </conditionalFormatting>
  <conditionalFormatting sqref="D35:D100">
    <cfRule type="duplicateValues" dxfId="43" priority="61"/>
  </conditionalFormatting>
  <conditionalFormatting sqref="F35:F100">
    <cfRule type="expression" dxfId="42" priority="62">
      <formula>AND($E35="tsv",$F35="カンマ")</formula>
    </cfRule>
    <cfRule type="expression" dxfId="41" priority="63">
      <formula>AND($E35="csv",$F35="タブ")</formula>
    </cfRule>
  </conditionalFormatting>
  <conditionalFormatting sqref="AE35:AE100">
    <cfRule type="expression" dxfId="40" priority="64">
      <formula>$AD35="なし"</formula>
    </cfRule>
  </conditionalFormatting>
  <conditionalFormatting sqref="T35:T100">
    <cfRule type="expression" dxfId="39" priority="65">
      <formula>$R35="なし"</formula>
    </cfRule>
  </conditionalFormatting>
  <conditionalFormatting sqref="S35:S100">
    <cfRule type="expression" dxfId="38" priority="66">
      <formula>$R35="なし"</formula>
    </cfRule>
  </conditionalFormatting>
  <conditionalFormatting sqref="M101:N104">
    <cfRule type="expression" dxfId="37" priority="37">
      <formula>$L101="差分"</formula>
    </cfRule>
    <cfRule type="expression" dxfId="36" priority="38">
      <formula>$L101="差分"</formula>
    </cfRule>
  </conditionalFormatting>
  <conditionalFormatting sqref="O101:Q104">
    <cfRule type="expression" dxfId="35" priority="39">
      <formula>$L101="全件"</formula>
    </cfRule>
  </conditionalFormatting>
  <conditionalFormatting sqref="AF101:AF104">
    <cfRule type="expression" dxfId="34" priority="40">
      <formula>$AD101="なし"</formula>
    </cfRule>
  </conditionalFormatting>
  <conditionalFormatting sqref="AI101:AI104">
    <cfRule type="expression" dxfId="33" priority="41">
      <formula>$AH101="なし"</formula>
    </cfRule>
    <cfRule type="expression" dxfId="32" priority="42">
      <formula>$AH101="なし"</formula>
    </cfRule>
  </conditionalFormatting>
  <conditionalFormatting sqref="AL101:AL104">
    <cfRule type="expression" dxfId="31" priority="43">
      <formula>$AK101="なし"</formula>
    </cfRule>
    <cfRule type="expression" dxfId="30" priority="44">
      <formula>$AK101="なし"</formula>
    </cfRule>
  </conditionalFormatting>
  <conditionalFormatting sqref="I101:I104">
    <cfRule type="expression" dxfId="29" priority="45">
      <formula>$H101="なし"</formula>
    </cfRule>
  </conditionalFormatting>
  <conditionalFormatting sqref="D101:D104">
    <cfRule type="duplicateValues" dxfId="28" priority="46"/>
  </conditionalFormatting>
  <conditionalFormatting sqref="F101:F104">
    <cfRule type="expression" dxfId="27" priority="47">
      <formula>AND($E101="tsv",$F101="カンマ")</formula>
    </cfRule>
    <cfRule type="expression" dxfId="26" priority="48">
      <formula>AND($E101="csv",$F101="タブ")</formula>
    </cfRule>
  </conditionalFormatting>
  <conditionalFormatting sqref="AE101:AE104">
    <cfRule type="expression" dxfId="25" priority="49">
      <formula>$AD101="なし"</formula>
    </cfRule>
  </conditionalFormatting>
  <conditionalFormatting sqref="T101:T104">
    <cfRule type="expression" dxfId="24" priority="50">
      <formula>$R101="なし"</formula>
    </cfRule>
  </conditionalFormatting>
  <conditionalFormatting sqref="S101:S104">
    <cfRule type="expression" dxfId="23" priority="51">
      <formula>$R101="なし"</formula>
    </cfRule>
  </conditionalFormatting>
  <conditionalFormatting sqref="O8:Q8">
    <cfRule type="expression" dxfId="22" priority="18">
      <formula>$L8="全件"</formula>
    </cfRule>
  </conditionalFormatting>
  <conditionalFormatting sqref="AF8">
    <cfRule type="expression" dxfId="21" priority="19">
      <formula>$AD8="なし"</formula>
    </cfRule>
  </conditionalFormatting>
  <conditionalFormatting sqref="AI8">
    <cfRule type="expression" dxfId="20" priority="20">
      <formula>$AH8="なし"</formula>
    </cfRule>
    <cfRule type="expression" dxfId="19" priority="21">
      <formula>$AH8="なし"</formula>
    </cfRule>
  </conditionalFormatting>
  <conditionalFormatting sqref="AL8">
    <cfRule type="expression" dxfId="18" priority="22">
      <formula>$AK8="なし"</formula>
    </cfRule>
    <cfRule type="expression" dxfId="17" priority="23">
      <formula>$AK8="なし"</formula>
    </cfRule>
  </conditionalFormatting>
  <conditionalFormatting sqref="D8">
    <cfRule type="duplicateValues" dxfId="16" priority="25"/>
  </conditionalFormatting>
  <conditionalFormatting sqref="AE8">
    <cfRule type="expression" dxfId="15" priority="28">
      <formula>$AD8="なし"</formula>
    </cfRule>
  </conditionalFormatting>
  <conditionalFormatting sqref="T8">
    <cfRule type="expression" dxfId="14" priority="29">
      <formula>$R8="なし"</formula>
    </cfRule>
  </conditionalFormatting>
  <conditionalFormatting sqref="S8">
    <cfRule type="expression" dxfId="13" priority="30">
      <formula>$R8="なし"</formula>
    </cfRule>
  </conditionalFormatting>
  <conditionalFormatting sqref="M9:N9">
    <cfRule type="expression" dxfId="12" priority="1">
      <formula>$L9="差分"</formula>
    </cfRule>
    <cfRule type="expression" dxfId="11" priority="2">
      <formula>$L9="差分"</formula>
    </cfRule>
  </conditionalFormatting>
  <conditionalFormatting sqref="O9:Q9">
    <cfRule type="expression" dxfId="10" priority="3">
      <formula>$L9="全件"</formula>
    </cfRule>
  </conditionalFormatting>
  <conditionalFormatting sqref="AF9">
    <cfRule type="expression" dxfId="9" priority="4">
      <formula>$AD9="なし"</formula>
    </cfRule>
  </conditionalFormatting>
  <conditionalFormatting sqref="AI9">
    <cfRule type="expression" dxfId="8" priority="5">
      <formula>$AH9="なし"</formula>
    </cfRule>
    <cfRule type="expression" dxfId="7" priority="6">
      <formula>$AH9="なし"</formula>
    </cfRule>
  </conditionalFormatting>
  <conditionalFormatting sqref="AL9">
    <cfRule type="expression" dxfId="6" priority="7">
      <formula>$AK9="なし"</formula>
    </cfRule>
    <cfRule type="expression" dxfId="5" priority="8">
      <formula>$AK9="なし"</formula>
    </cfRule>
  </conditionalFormatting>
  <conditionalFormatting sqref="I9">
    <cfRule type="expression" dxfId="4" priority="9">
      <formula>$H9="なし"</formula>
    </cfRule>
  </conditionalFormatting>
  <conditionalFormatting sqref="D9">
    <cfRule type="duplicateValues" dxfId="3" priority="10"/>
  </conditionalFormatting>
  <conditionalFormatting sqref="AE9">
    <cfRule type="expression" dxfId="2" priority="13">
      <formula>$AD9="なし"</formula>
    </cfRule>
  </conditionalFormatting>
  <conditionalFormatting sqref="T9">
    <cfRule type="expression" dxfId="1" priority="14">
      <formula>$R9="なし"</formula>
    </cfRule>
  </conditionalFormatting>
  <conditionalFormatting sqref="S9">
    <cfRule type="expression" dxfId="0" priority="15">
      <formula>$R9="なし"</formula>
    </cfRule>
  </conditionalFormatting>
  <dataValidations count="14">
    <dataValidation type="list" allowBlank="1" showInputMessage="1" showErrorMessage="1" sqref="J4:J104" xr:uid="{00000000-0002-0000-0100-000000000000}">
      <formula1>LineFeedCodeList</formula1>
    </dataValidation>
    <dataValidation type="list" allowBlank="1" showInputMessage="1" showErrorMessage="1" sqref="AG4:AG104" xr:uid="{00000000-0002-0000-0100-000001000000}">
      <formula1>ZipPasswordSettingList</formula1>
    </dataValidation>
    <dataValidation type="list" allowBlank="1" showInputMessage="1" showErrorMessage="1" sqref="E4:E104" xr:uid="{00000000-0002-0000-0100-000002000000}">
      <formula1>FileExtensionList</formula1>
    </dataValidation>
    <dataValidation type="list" allowBlank="1" showInputMessage="1" showErrorMessage="1" sqref="G4:G104" xr:uid="{00000000-0002-0000-0100-000003000000}">
      <formula1>CharacterCodeList</formula1>
    </dataValidation>
    <dataValidation type="list" allowBlank="1" showInputMessage="1" showErrorMessage="1" sqref="L4:L104" xr:uid="{00000000-0002-0000-0100-000004000000}">
      <formula1>LinkingRecordList</formula1>
    </dataValidation>
    <dataValidation type="list" allowBlank="1" showInputMessage="1" showErrorMessage="1" sqref="R4:R104" xr:uid="{00000000-0002-0000-0100-000005000000}">
      <formula1>FileCapacityList</formula1>
    </dataValidation>
    <dataValidation type="list" allowBlank="1" showInputMessage="1" showErrorMessage="1" sqref="U4:U104" xr:uid="{00000000-0002-0000-0100-000006000000}">
      <formula1>LinkingFormList</formula1>
    </dataValidation>
    <dataValidation type="list" allowBlank="1" showInputMessage="1" showErrorMessage="1" sqref="V4:V104" xr:uid="{00000000-0002-0000-0100-000007000000}">
      <formula1>LinkingMethodList</formula1>
    </dataValidation>
    <dataValidation type="list" allowBlank="1" showInputMessage="1" showErrorMessage="1" sqref="AD4:AD104" xr:uid="{00000000-0002-0000-0100-000008000000}">
      <formula1>ZipList</formula1>
    </dataValidation>
    <dataValidation type="list" allowBlank="1" showInputMessage="1" showErrorMessage="1" sqref="H4:H104" xr:uid="{00000000-0002-0000-0100-000009000000}">
      <formula1>HeaderList</formula1>
    </dataValidation>
    <dataValidation type="list" allowBlank="1" showInputMessage="1" showErrorMessage="1" sqref="AK4:AK104" xr:uid="{00000000-0002-0000-0100-00000A000000}">
      <formula1>LinkingStopDateList</formula1>
    </dataValidation>
    <dataValidation type="list" allowBlank="1" showInputMessage="1" showErrorMessage="1" sqref="AJ4:AJ104" xr:uid="{00000000-0002-0000-0100-00000B000000}">
      <formula1>SendingEmptyFileList</formula1>
    </dataValidation>
    <dataValidation type="list" allowBlank="1" showInputMessage="1" showErrorMessage="1" sqref="AH4:AH104" xr:uid="{00000000-0002-0000-0100-00000C000000}">
      <formula1>EncryptionList</formula1>
    </dataValidation>
    <dataValidation type="list" allowBlank="1" showInputMessage="1" showErrorMessage="1" sqref="AF4:AF104" xr:uid="{00000000-0002-0000-0100-00000D000000}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AI28" sqref="AI28"/>
    </sheetView>
  </sheetViews>
  <sheetFormatPr defaultColWidth="2.75" defaultRowHeight="13.5" x14ac:dyDescent="0.15"/>
  <cols>
    <col min="1" max="1" width="1.375" style="6" customWidth="1"/>
    <col min="2" max="16384" width="2.75" style="6"/>
  </cols>
  <sheetData>
    <row r="2" spans="2:54" x14ac:dyDescent="0.15">
      <c r="B2" s="7" t="s">
        <v>110</v>
      </c>
    </row>
    <row r="3" spans="2:54" x14ac:dyDescent="0.15">
      <c r="B3" s="8" t="s">
        <v>111</v>
      </c>
      <c r="C3" s="9"/>
      <c r="D3" s="9"/>
      <c r="E3" s="9"/>
      <c r="F3" s="9"/>
      <c r="G3" s="9"/>
    </row>
    <row r="4" spans="2:54" x14ac:dyDescent="0.15">
      <c r="B4" s="10" t="s">
        <v>112</v>
      </c>
      <c r="C4" s="9"/>
      <c r="D4" s="9"/>
      <c r="E4" s="9"/>
      <c r="F4" s="9"/>
      <c r="G4" s="9"/>
    </row>
    <row r="5" spans="2:54" x14ac:dyDescent="0.15">
      <c r="B5" s="10"/>
      <c r="C5" s="9"/>
      <c r="D5" s="9"/>
      <c r="E5" s="9"/>
      <c r="F5" s="9"/>
      <c r="G5" s="9"/>
    </row>
    <row r="6" spans="2:54" x14ac:dyDescent="0.15">
      <c r="B6" s="7" t="s">
        <v>113</v>
      </c>
    </row>
    <row r="7" spans="2:54" ht="14.25" thickBot="1" x14ac:dyDescent="0.2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4.25" thickTop="1" x14ac:dyDescent="0.15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 x14ac:dyDescent="0.15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 x14ac:dyDescent="0.15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 x14ac:dyDescent="0.15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 x14ac:dyDescent="0.15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 x14ac:dyDescent="0.15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 x14ac:dyDescent="0.15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 x14ac:dyDescent="0.15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 x14ac:dyDescent="0.15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 x14ac:dyDescent="0.15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 x14ac:dyDescent="0.15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 x14ac:dyDescent="0.15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 x14ac:dyDescent="0.15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 x14ac:dyDescent="0.15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 x14ac:dyDescent="0.15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 x14ac:dyDescent="0.15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 x14ac:dyDescent="0.15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 x14ac:dyDescent="0.15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 x14ac:dyDescent="0.15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 x14ac:dyDescent="0.15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 x14ac:dyDescent="0.15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 x14ac:dyDescent="0.15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 x14ac:dyDescent="0.15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 x14ac:dyDescent="0.15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 x14ac:dyDescent="0.15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 x14ac:dyDescent="0.15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 x14ac:dyDescent="0.15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 x14ac:dyDescent="0.15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 x14ac:dyDescent="0.15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 x14ac:dyDescent="0.15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 x14ac:dyDescent="0.15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 x14ac:dyDescent="0.15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 x14ac:dyDescent="0.15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 x14ac:dyDescent="0.15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 x14ac:dyDescent="0.15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 x14ac:dyDescent="0.15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 x14ac:dyDescent="0.15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 x14ac:dyDescent="0.15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 x14ac:dyDescent="0.15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 x14ac:dyDescent="0.15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 x14ac:dyDescent="0.15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 x14ac:dyDescent="0.15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 x14ac:dyDescent="0.15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 x14ac:dyDescent="0.15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K51"/>
  <sheetViews>
    <sheetView showGridLines="0" workbookViewId="0">
      <pane ySplit="20" topLeftCell="A21" activePane="bottomLeft" state="frozen"/>
      <selection pane="bottomLeft" activeCell="H30" sqref="H30"/>
    </sheetView>
  </sheetViews>
  <sheetFormatPr defaultRowHeight="13.5" x14ac:dyDescent="0.1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 x14ac:dyDescent="0.1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 x14ac:dyDescent="0.2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 x14ac:dyDescent="0.2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x14ac:dyDescent="0.2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x14ac:dyDescent="0.2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x14ac:dyDescent="0.2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x14ac:dyDescent="0.2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 x14ac:dyDescent="0.2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 x14ac:dyDescent="0.2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x14ac:dyDescent="0.2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x14ac:dyDescent="0.2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x14ac:dyDescent="0.2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 x14ac:dyDescent="0.2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 x14ac:dyDescent="0.2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 x14ac:dyDescent="0.15">
      <c r="A19"/>
      <c r="B19" s="142" t="s">
        <v>47</v>
      </c>
      <c r="C19" s="142" t="s">
        <v>128</v>
      </c>
      <c r="D19" s="142" t="s">
        <v>130</v>
      </c>
      <c r="E19" s="142" t="s">
        <v>132</v>
      </c>
      <c r="F19" s="142" t="s">
        <v>134</v>
      </c>
      <c r="G19" s="142" t="s">
        <v>136</v>
      </c>
      <c r="H19" s="142" t="s">
        <v>138</v>
      </c>
      <c r="I19" s="91" t="s">
        <v>152</v>
      </c>
      <c r="J19" s="142" t="s">
        <v>153</v>
      </c>
      <c r="K19" s="142"/>
      <c r="L19" s="91" t="s">
        <v>154</v>
      </c>
      <c r="M19" s="142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 x14ac:dyDescent="0.2">
      <c r="A20"/>
      <c r="B20" s="143"/>
      <c r="C20" s="143"/>
      <c r="D20" s="143"/>
      <c r="E20" s="143"/>
      <c r="F20" s="143"/>
      <c r="G20" s="143"/>
      <c r="H20" s="143"/>
      <c r="I20" s="82" t="s">
        <v>140</v>
      </c>
      <c r="J20" s="82" t="s">
        <v>155</v>
      </c>
      <c r="K20" s="82" t="s">
        <v>146</v>
      </c>
      <c r="L20" s="82" t="s">
        <v>148</v>
      </c>
      <c r="M20" s="14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 x14ac:dyDescent="0.15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 x14ac:dyDescent="0.1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 x14ac:dyDescent="0.1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 x14ac:dyDescent="0.1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 x14ac:dyDescent="0.1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 x14ac:dyDescent="0.1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 x14ac:dyDescent="0.1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 x14ac:dyDescent="0.1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 x14ac:dyDescent="0.1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 x14ac:dyDescent="0.1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 x14ac:dyDescent="0.1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 x14ac:dyDescent="0.1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 x14ac:dyDescent="0.1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 x14ac:dyDescent="0.1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 x14ac:dyDescent="0.1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 x14ac:dyDescent="0.1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 x14ac:dyDescent="0.1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 x14ac:dyDescent="0.1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 x14ac:dyDescent="0.1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 x14ac:dyDescent="0.1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 x14ac:dyDescent="0.1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 x14ac:dyDescent="0.1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 x14ac:dyDescent="0.1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 x14ac:dyDescent="0.1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 x14ac:dyDescent="0.1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 x14ac:dyDescent="0.1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 x14ac:dyDescent="0.1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 x14ac:dyDescent="0.1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 x14ac:dyDescent="0.1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 x14ac:dyDescent="0.1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 x14ac:dyDescent="0.1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 xr:uid="{00000000-0002-0000-0300-000000000000}">
      <formula1>DateDatetimeList</formula1>
    </dataValidation>
    <dataValidation type="list" allowBlank="1" showInputMessage="1" showErrorMessage="1" sqref="G21:G51" xr:uid="{00000000-0002-0000-0300-000001000000}">
      <formula1>PrimaryKeyList</formula1>
    </dataValidation>
    <dataValidation type="list" allowBlank="1" showInputMessage="1" showErrorMessage="1" sqref="H21:H51" xr:uid="{00000000-0002-0000-0300-000002000000}">
      <formula1>NotNullList</formula1>
    </dataValidation>
    <dataValidation type="list" allowBlank="1" showInputMessage="1" showErrorMessage="1" sqref="F21:F51" xr:uid="{00000000-0002-0000-0300-000003000000}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MK16"/>
  <sheetViews>
    <sheetView topLeftCell="Z1" workbookViewId="0">
      <selection activeCell="AI15" sqref="AI15"/>
    </sheetView>
  </sheetViews>
  <sheetFormatPr defaultRowHeight="13.5" x14ac:dyDescent="0.15"/>
  <cols>
    <col min="1" max="1" width="2.25" style="85" customWidth="1"/>
    <col min="2" max="1025" width="9" style="85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145" t="s">
        <v>3</v>
      </c>
      <c r="C2" s="145" t="s">
        <v>105</v>
      </c>
      <c r="D2" s="145" t="s">
        <v>28</v>
      </c>
      <c r="E2" s="145" t="s">
        <v>100</v>
      </c>
      <c r="F2" s="145" t="s">
        <v>97</v>
      </c>
      <c r="G2" s="145" t="s">
        <v>95</v>
      </c>
      <c r="H2" s="145"/>
      <c r="I2" s="145" t="s">
        <v>91</v>
      </c>
      <c r="J2" s="145" t="s">
        <v>89</v>
      </c>
      <c r="K2" s="145" t="s">
        <v>87</v>
      </c>
      <c r="L2" s="145" t="s">
        <v>195</v>
      </c>
      <c r="M2" s="145" t="s">
        <v>194</v>
      </c>
      <c r="N2" s="145" t="s">
        <v>80</v>
      </c>
      <c r="O2" s="145" t="s">
        <v>193</v>
      </c>
      <c r="P2" s="145" t="s">
        <v>192</v>
      </c>
      <c r="Q2" s="145" t="s">
        <v>46</v>
      </c>
      <c r="R2" s="145" t="s">
        <v>191</v>
      </c>
      <c r="S2" s="145" t="s">
        <v>190</v>
      </c>
      <c r="T2" s="145" t="s">
        <v>45</v>
      </c>
      <c r="U2" s="145" t="s">
        <v>44</v>
      </c>
      <c r="V2" s="145" t="s">
        <v>43</v>
      </c>
      <c r="W2" s="145" t="s">
        <v>42</v>
      </c>
      <c r="X2" s="145" t="s">
        <v>41</v>
      </c>
      <c r="Y2" s="145" t="s">
        <v>40</v>
      </c>
      <c r="Z2" s="145" t="s">
        <v>39</v>
      </c>
      <c r="AA2" s="145"/>
      <c r="AB2" s="145" t="s">
        <v>38</v>
      </c>
      <c r="AC2" s="145" t="s">
        <v>37</v>
      </c>
      <c r="AD2" s="145"/>
      <c r="AE2" s="145"/>
      <c r="AF2" s="145"/>
      <c r="AG2" s="145" t="s">
        <v>36</v>
      </c>
      <c r="AH2" s="145"/>
      <c r="AI2" s="145" t="s">
        <v>35</v>
      </c>
      <c r="AJ2" s="145" t="s">
        <v>50</v>
      </c>
      <c r="AK2" s="145"/>
      <c r="AL2"/>
      <c r="AM2" s="144" t="s">
        <v>130</v>
      </c>
      <c r="AN2" s="144" t="s">
        <v>132</v>
      </c>
      <c r="AO2" s="144" t="s">
        <v>134</v>
      </c>
      <c r="AP2" s="144" t="s">
        <v>136</v>
      </c>
      <c r="AQ2" s="144" t="s">
        <v>138</v>
      </c>
      <c r="AR2" s="90" t="s">
        <v>152</v>
      </c>
      <c r="AS2" s="144" t="s">
        <v>153</v>
      </c>
      <c r="AT2" s="144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 x14ac:dyDescent="0.15">
      <c r="A3"/>
      <c r="B3" s="145"/>
      <c r="C3" s="145"/>
      <c r="D3" s="145"/>
      <c r="E3" s="145"/>
      <c r="F3" s="145"/>
      <c r="G3" s="89" t="s">
        <v>25</v>
      </c>
      <c r="H3" s="89" t="s">
        <v>93</v>
      </c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89" t="s">
        <v>31</v>
      </c>
      <c r="AA3" s="88" t="s">
        <v>30</v>
      </c>
      <c r="AB3" s="145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5"/>
      <c r="AJ3" s="88" t="s">
        <v>25</v>
      </c>
      <c r="AK3" s="88" t="s">
        <v>24</v>
      </c>
      <c r="AL3"/>
      <c r="AM3" s="144"/>
      <c r="AN3" s="144"/>
      <c r="AO3" s="144"/>
      <c r="AP3" s="144"/>
      <c r="AQ3" s="144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 x14ac:dyDescent="0.2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 x14ac:dyDescent="0.2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 x14ac:dyDescent="0.2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 x14ac:dyDescent="0.2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 x14ac:dyDescent="0.2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 x14ac:dyDescent="0.2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 x14ac:dyDescent="0.2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 x14ac:dyDescent="0.2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 x14ac:dyDescent="0.2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 x14ac:dyDescent="0.2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 x14ac:dyDescent="0.2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 x14ac:dyDescent="0.2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 x14ac:dyDescent="0.2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B2:B3"/>
    <mergeCell ref="C2:C3"/>
    <mergeCell ref="D2:D3"/>
    <mergeCell ref="E2:E3"/>
    <mergeCell ref="F2:F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</vt:i4>
      </vt:variant>
    </vt:vector>
  </HeadingPairs>
  <TitlesOfParts>
    <vt:vector size="43" baseType="lpstr">
      <vt:lpstr>データチェックツール</vt:lpstr>
      <vt:lpstr>IFファイル一覧</vt:lpstr>
      <vt:lpstr>IFファイル一覧項目説明</vt:lpstr>
      <vt:lpstr>【カラム定義】テンプレート</vt:lpstr>
      <vt:lpstr>List</vt:lpstr>
      <vt:lpstr>【カラム定義】テンプレート!CharacterCodeList</vt:lpstr>
      <vt:lpstr>CharacterCodeList</vt:lpstr>
      <vt:lpstr>【カラム定義】テンプレート!DataTypeList</vt:lpstr>
      <vt:lpstr>DataTypeList</vt:lpstr>
      <vt:lpstr>【カラム定義】テンプレート!DateDatetimeList</vt:lpstr>
      <vt:lpstr>DateDatetimeList</vt:lpstr>
      <vt:lpstr>【カラム定義】テンプレート!EncryptionList</vt:lpstr>
      <vt:lpstr>EncryptionList</vt:lpstr>
      <vt:lpstr>【カラム定義】テンプレート!FileCapacityList</vt:lpstr>
      <vt:lpstr>FileCapacityList</vt:lpstr>
      <vt:lpstr>【カラム定義】テンプレート!FileExtensionList</vt:lpstr>
      <vt:lpstr>FileExtensionList</vt:lpstr>
      <vt:lpstr>【カラム定義】テンプレート!HeaderList</vt:lpstr>
      <vt:lpstr>HeaderList</vt:lpstr>
      <vt:lpstr>【カラム定義】テンプレート!LineFeedCodeList</vt:lpstr>
      <vt:lpstr>LineFeedCodeList</vt:lpstr>
      <vt:lpstr>【カラム定義】テンプレート!LinkingFormList</vt:lpstr>
      <vt:lpstr>LinkingFormList</vt:lpstr>
      <vt:lpstr>【カラム定義】テンプレート!LinkingMethodList</vt:lpstr>
      <vt:lpstr>LinkingMethodList</vt:lpstr>
      <vt:lpstr>【カラム定義】テンプレート!LinkingRecordList</vt:lpstr>
      <vt:lpstr>LinkingRecordList</vt:lpstr>
      <vt:lpstr>【カラム定義】テンプレート!LinkingStopDateList</vt:lpstr>
      <vt:lpstr>LinkingStopDateList</vt:lpstr>
      <vt:lpstr>【カラム定義】テンプレート!NotNullList</vt:lpstr>
      <vt:lpstr>NotNullList</vt:lpstr>
      <vt:lpstr>PasswordSettingList</vt:lpstr>
      <vt:lpstr>【カラム定義】テンプレート!PrimaryKeyList</vt:lpstr>
      <vt:lpstr>PrimaryKeyList</vt:lpstr>
      <vt:lpstr>【カラム定義】テンプレート!SendingEmptyFileList</vt:lpstr>
      <vt:lpstr>SendingEmptyFileList</vt:lpstr>
      <vt:lpstr>SeperatedCharacterList</vt:lpstr>
      <vt:lpstr>【カラム定義】テンプレート!ZipExtensionList</vt:lpstr>
      <vt:lpstr>ZipExtensionList</vt:lpstr>
      <vt:lpstr>【カラム定義】テンプレート!ZipList</vt:lpstr>
      <vt:lpstr>ZipList</vt:lpstr>
      <vt:lpstr>【カラム定義】テンプレート!ZipPasswordSettingList</vt:lpstr>
      <vt:lpstr>ZipPasswordSettingList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Pham Thanh Binh</cp:lastModifiedBy>
  <dcterms:created xsi:type="dcterms:W3CDTF">2017-12-04T02:37:19Z</dcterms:created>
  <dcterms:modified xsi:type="dcterms:W3CDTF">2018-01-12T08:09:50Z</dcterms:modified>
</cp:coreProperties>
</file>